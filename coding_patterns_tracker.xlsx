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00"/>
  </bookViews>
  <sheets>
    <sheet name="Tracker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<sst xmlns="http://schemas.openxmlformats.org/spreadsheetml/2006/main" count="177" uniqueCount="85">
  <si>
    <t>Priority Tier</t>
  </si>
  <si>
    <t>Pattern</t>
  </si>
  <si>
    <t>Notes / Sub-patterns</t>
  </si>
  <si>
    <t>Status</t>
  </si>
  <si>
    <t>Problems Solved</t>
  </si>
  <si>
    <t>Target</t>
  </si>
  <si>
    <t>Progress %</t>
  </si>
  <si>
    <t>Last Practiced</t>
  </si>
  <si>
    <t>Link</t>
  </si>
  <si>
    <t>Tier 1</t>
  </si>
  <si>
    <t>Hash Maps</t>
  </si>
  <si>
    <t>Frequency counting, memoization, O(1) lookups — underlies most other patterns</t>
  </si>
  <si>
    <t>Done</t>
  </si>
  <si>
    <t>Practice link</t>
  </si>
  <si>
    <t>Two Pointers</t>
  </si>
  <si>
    <t>Converging (palindrome check), Parallel (substring search), Trigger-based</t>
  </si>
  <si>
    <t>Not Started</t>
  </si>
  <si>
    <t>Sliding Window</t>
  </si>
  <si>
    <t>Fixed &amp; variable-size window problems</t>
  </si>
  <si>
    <t>Tree DFS</t>
  </si>
  <si>
    <t>Pre/in/post-order, recursive &amp; iterative traversal</t>
  </si>
  <si>
    <t>Tree BFS / Level Order</t>
  </si>
  <si>
    <t>Level-by-level traversal, zigzag, level averages</t>
  </si>
  <si>
    <t>Graphs</t>
  </si>
  <si>
    <t>Traversal, connectivity, shortest path basics</t>
  </si>
  <si>
    <t>Dynamic Programming - Fibonacci style</t>
  </si>
  <si>
    <t>1D DP, base case + recurrence intuition</t>
  </si>
  <si>
    <t>Dynamic Programming - 0/1 Knapsack</t>
  </si>
  <si>
    <t>2D DP, subset-sum family</t>
  </si>
  <si>
    <t>Dynamic Programming - Palindromic Subsequence</t>
  </si>
  <si>
    <t>Interval DP</t>
  </si>
  <si>
    <t>Tier 2</t>
  </si>
  <si>
    <t>Island / Matrix Traversal</t>
  </si>
  <si>
    <t>DFS/BFS applied to grids</t>
  </si>
  <si>
    <t>Top K Elements</t>
  </si>
  <si>
    <t>Heap-based selection problems</t>
  </si>
  <si>
    <t>Two Heaps</t>
  </si>
  <si>
    <t>Median-finding, balancing two heaps</t>
  </si>
  <si>
    <t>Merge Intervals</t>
  </si>
  <si>
    <t>Overlapping interval problems</t>
  </si>
  <si>
    <t>Cyclic Sort</t>
  </si>
  <si>
    <t>In-place sort for range 1..n problems</t>
  </si>
  <si>
    <t>Backtracking</t>
  </si>
  <si>
    <t>Combinations, permutations, constraint search</t>
  </si>
  <si>
    <t>Subsets</t>
  </si>
  <si>
    <t>Power set generation, bitmask/iterative approaches</t>
  </si>
  <si>
    <t>Fast &amp; Slow Pointers</t>
  </si>
  <si>
    <t>Cycle detection, middle-of-list problems</t>
  </si>
  <si>
    <t>Tier 3</t>
  </si>
  <si>
    <t>Monotonic Stack</t>
  </si>
  <si>
    <t>Next greater/smaller element problems</t>
  </si>
  <si>
    <t>Stack (general)</t>
  </si>
  <si>
    <t>Parenthesis matching, expression evaluation</t>
  </si>
  <si>
    <t>Modified Binary Search</t>
  </si>
  <si>
    <t>Search in rotated/sorted variants</t>
  </si>
  <si>
    <t>In-Place Reversal of Linked List</t>
  </si>
  <si>
    <t>Reverse whole/partial list without extra space</t>
  </si>
  <si>
    <t>Prefix Sum</t>
  </si>
  <si>
    <t>Range sum queries, subarray sum problems</t>
  </si>
  <si>
    <t>K-way Merge</t>
  </si>
  <si>
    <t>Merge k sorted lists/arrays</t>
  </si>
  <si>
    <t>Greedy Algorithms</t>
  </si>
  <si>
    <t>Local-optimal choice problems</t>
  </si>
  <si>
    <t>Tier 4</t>
  </si>
  <si>
    <t>Trie</t>
  </si>
  <si>
    <t>Prefix tree for word search/autocomplete</t>
  </si>
  <si>
    <t>Topological Sort</t>
  </si>
  <si>
    <t>Task scheduling, dependency ordering</t>
  </si>
  <si>
    <t>Union Find</t>
  </si>
  <si>
    <t>Disjoint set, connected components</t>
  </si>
  <si>
    <t>Ordered Set</t>
  </si>
  <si>
    <t>Sorted container operations</t>
  </si>
  <si>
    <t>Bitwise XOR</t>
  </si>
  <si>
    <t>Bit manipulation tricks</t>
  </si>
  <si>
    <t>Multi-threaded</t>
  </si>
  <si>
    <t>Concurrency-flavored coding (relevant for infra-leaning roles)</t>
  </si>
  <si>
    <t>Coding Patterns Practice — Dashboard</t>
  </si>
  <si>
    <t>Overall Progress</t>
  </si>
  <si>
    <t>Total Patterns</t>
  </si>
  <si>
    <t>In Progress</t>
  </si>
  <si>
    <t>Overall Completion %</t>
  </si>
  <si>
    <t>Breakdown by Tier</t>
  </si>
  <si>
    <t>Tier</t>
  </si>
  <si>
    <t>Total</t>
  </si>
  <si>
    <t>% Done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</si>
</sst>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dd/mm/yyyy"/>
  </numFmts>
  <fonts count="28">
    <font>
      <sz val="11"/>
      <color theme="1"/>
      <name val="Calibri"/>
      <charset val="1"/>
    </font>
    <font>
      <b/>
      <sz val="14"/>
      <name val="Arial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u/>
      <sz val="10"/>
      <color rgb="FF0563C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Border="0" applyAlignment="0" applyProtection="0"/>
    <xf numFmtId="177" fontId="7" fillId="0" borderId="0" applyBorder="0" applyAlignment="0" applyProtection="0"/>
    <xf numFmtId="9" fontId="7" fillId="0" borderId="0" applyBorder="0" applyAlignment="0" applyProtection="0"/>
    <xf numFmtId="178" fontId="7" fillId="0" borderId="0" applyBorder="0" applyAlignment="0" applyProtection="0"/>
    <xf numFmtId="179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9" fontId="4" fillId="0" borderId="0" xfId="0" applyNumberFormat="1" applyFont="1"/>
    <xf numFmtId="0" fontId="5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/>
    <xf numFmtId="9" fontId="3" fillId="0" borderId="1" xfId="0" applyNumberFormat="1" applyFont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180" fontId="3" fillId="0" borderId="1" xfId="0" applyNumberFormat="1" applyFont="1" applyBorder="1"/>
    <xf numFmtId="0" fontId="6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2F2F2"/>
      <rgbColor rgb="00CCFFFF"/>
      <rgbColor rgb="00660066"/>
      <rgbColor rgb="00FF8080"/>
      <rgbColor rgb="000563C1"/>
      <rgbColor rgb="00FCE4D6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eetcode.com/tag/heap-priority-queue/" TargetMode="External"/><Relationship Id="rId8" Type="http://schemas.openxmlformats.org/officeDocument/2006/relationships/hyperlink" Target="https://leetcode.com/tag/matrix/" TargetMode="External"/><Relationship Id="rId7" Type="http://schemas.openxmlformats.org/officeDocument/2006/relationships/hyperlink" Target="https://leetcode.com/tag/dynamic-programming/" TargetMode="External"/><Relationship Id="rId6" Type="http://schemas.openxmlformats.org/officeDocument/2006/relationships/hyperlink" Target="https://leetcode.com/tag/graph/" TargetMode="External"/><Relationship Id="rId5" Type="http://schemas.openxmlformats.org/officeDocument/2006/relationships/hyperlink" Target="https://leetcode.com/tag/breadth-first-search/" TargetMode="External"/><Relationship Id="rId4" Type="http://schemas.openxmlformats.org/officeDocument/2006/relationships/hyperlink" Target="https://leetcode.com/tag/depth-first-search/" TargetMode="External"/><Relationship Id="rId3" Type="http://schemas.openxmlformats.org/officeDocument/2006/relationships/hyperlink" Target="https://leetcode.com/tag/sliding-window/" TargetMode="External"/><Relationship Id="rId24" Type="http://schemas.openxmlformats.org/officeDocument/2006/relationships/hyperlink" Target="https://leetcode.com/tag/concurrency/" TargetMode="External"/><Relationship Id="rId23" Type="http://schemas.openxmlformats.org/officeDocument/2006/relationships/hyperlink" Target="https://leetcode.com/tag/bit-manipulation/" TargetMode="External"/><Relationship Id="rId22" Type="http://schemas.openxmlformats.org/officeDocument/2006/relationships/hyperlink" Target="https://leetcode.com/tag/ordered-set/" TargetMode="External"/><Relationship Id="rId21" Type="http://schemas.openxmlformats.org/officeDocument/2006/relationships/hyperlink" Target="https://leetcode.com/tag/union-find/" TargetMode="External"/><Relationship Id="rId20" Type="http://schemas.openxmlformats.org/officeDocument/2006/relationships/hyperlink" Target="https://leetcode.com/tag/topological-sort/" TargetMode="External"/><Relationship Id="rId2" Type="http://schemas.openxmlformats.org/officeDocument/2006/relationships/hyperlink" Target="https://leetcode.com/tag/two-pointers/" TargetMode="External"/><Relationship Id="rId19" Type="http://schemas.openxmlformats.org/officeDocument/2006/relationships/hyperlink" Target="https://leetcode.com/tag/trie/" TargetMode="External"/><Relationship Id="rId18" Type="http://schemas.openxmlformats.org/officeDocument/2006/relationships/hyperlink" Target="https://leetcode.com/tag/greedy/" TargetMode="External"/><Relationship Id="rId17" Type="http://schemas.openxmlformats.org/officeDocument/2006/relationships/hyperlink" Target="https://leetcode.com/tag/prefix-sum/" TargetMode="External"/><Relationship Id="rId16" Type="http://schemas.openxmlformats.org/officeDocument/2006/relationships/hyperlink" Target="https://leetcode.com/tag/binary-search/" TargetMode="External"/><Relationship Id="rId15" Type="http://schemas.openxmlformats.org/officeDocument/2006/relationships/hyperlink" Target="https://leetcode.com/tag/stack/" TargetMode="External"/><Relationship Id="rId14" Type="http://schemas.openxmlformats.org/officeDocument/2006/relationships/hyperlink" Target="https://leetcode.com/tag/monotonic-stack/" TargetMode="External"/><Relationship Id="rId13" Type="http://schemas.openxmlformats.org/officeDocument/2006/relationships/hyperlink" Target="https://leetcode.com/tag/linked-list/" TargetMode="External"/><Relationship Id="rId12" Type="http://schemas.openxmlformats.org/officeDocument/2006/relationships/hyperlink" Target="https://leetcode.com/tag/backtracking/" TargetMode="External"/><Relationship Id="rId11" Type="http://schemas.openxmlformats.org/officeDocument/2006/relationships/hyperlink" Target="https://leetcode.com/tag/array/" TargetMode="External"/><Relationship Id="rId10" Type="http://schemas.openxmlformats.org/officeDocument/2006/relationships/hyperlink" Target="https://leetcode.com/tag/sorting/" TargetMode="External"/><Relationship Id="rId1" Type="http://schemas.openxmlformats.org/officeDocument/2006/relationships/hyperlink" Target="https://leetcode.com/tag/hash-tab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pane ySplit="1" topLeftCell="A2" activePane="bottomLeft" state="frozen"/>
      <selection/>
      <selection pane="bottomLeft" activeCell="I2" sqref="I2"/>
    </sheetView>
  </sheetViews>
  <sheetFormatPr defaultColWidth="8.68181818181818" defaultRowHeight="14.5"/>
  <cols>
    <col min="1" max="1" width="13" customWidth="1"/>
    <col min="2" max="2" width="32" customWidth="1"/>
    <col min="3" max="3" width="55" customWidth="1"/>
    <col min="4" max="4" width="14" customWidth="1"/>
    <col min="5" max="5" width="15" customWidth="1"/>
    <col min="6" max="6" width="9" customWidth="1"/>
    <col min="7" max="7" width="12" customWidth="1"/>
    <col min="8" max="8" width="16" customWidth="1"/>
    <col min="9" max="9" width="14" customWidth="1"/>
  </cols>
  <sheetData>
    <row r="1" ht="30" customHeight="1" spans="1:9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>
      <c r="A2" s="7" t="s">
        <v>9</v>
      </c>
      <c r="B2" s="8" t="s">
        <v>10</v>
      </c>
      <c r="C2" s="8" t="s">
        <v>11</v>
      </c>
      <c r="D2" s="8" t="s">
        <v>12</v>
      </c>
      <c r="E2" s="8">
        <v>4</v>
      </c>
      <c r="F2" s="8">
        <v>5</v>
      </c>
      <c r="G2" s="9">
        <f t="shared" ref="G2:G31" si="0">IFERROR(E2/F2,0)</f>
        <v>0.8</v>
      </c>
      <c r="H2" s="14">
        <v>46211</v>
      </c>
      <c r="I2" s="15" t="s">
        <v>13</v>
      </c>
    </row>
    <row r="3" spans="1:9">
      <c r="A3" s="7" t="s">
        <v>9</v>
      </c>
      <c r="B3" s="8" t="s">
        <v>14</v>
      </c>
      <c r="C3" s="8" t="s">
        <v>15</v>
      </c>
      <c r="D3" s="8" t="s">
        <v>16</v>
      </c>
      <c r="E3" s="8">
        <v>0</v>
      </c>
      <c r="F3" s="8">
        <v>5</v>
      </c>
      <c r="G3" s="9">
        <f t="shared" si="0"/>
        <v>0</v>
      </c>
      <c r="H3" s="8"/>
      <c r="I3" s="15" t="s">
        <v>13</v>
      </c>
    </row>
    <row r="4" spans="1:9">
      <c r="A4" s="7" t="s">
        <v>9</v>
      </c>
      <c r="B4" s="8" t="s">
        <v>17</v>
      </c>
      <c r="C4" s="8" t="s">
        <v>18</v>
      </c>
      <c r="D4" s="8" t="s">
        <v>16</v>
      </c>
      <c r="E4" s="8">
        <v>0</v>
      </c>
      <c r="F4" s="8">
        <v>5</v>
      </c>
      <c r="G4" s="9">
        <f t="shared" si="0"/>
        <v>0</v>
      </c>
      <c r="H4" s="8"/>
      <c r="I4" s="15" t="s">
        <v>13</v>
      </c>
    </row>
    <row r="5" spans="1:9">
      <c r="A5" s="7" t="s">
        <v>9</v>
      </c>
      <c r="B5" s="8" t="s">
        <v>19</v>
      </c>
      <c r="C5" s="8" t="s">
        <v>20</v>
      </c>
      <c r="D5" s="8" t="s">
        <v>16</v>
      </c>
      <c r="E5" s="8">
        <v>0</v>
      </c>
      <c r="F5" s="8">
        <v>5</v>
      </c>
      <c r="G5" s="9">
        <f t="shared" si="0"/>
        <v>0</v>
      </c>
      <c r="H5" s="8"/>
      <c r="I5" s="15" t="s">
        <v>13</v>
      </c>
    </row>
    <row r="6" spans="1:9">
      <c r="A6" s="7" t="s">
        <v>9</v>
      </c>
      <c r="B6" s="8" t="s">
        <v>21</v>
      </c>
      <c r="C6" s="8" t="s">
        <v>22</v>
      </c>
      <c r="D6" s="8" t="s">
        <v>16</v>
      </c>
      <c r="E6" s="8">
        <v>0</v>
      </c>
      <c r="F6" s="8">
        <v>5</v>
      </c>
      <c r="G6" s="9">
        <f t="shared" si="0"/>
        <v>0</v>
      </c>
      <c r="H6" s="8"/>
      <c r="I6" s="15" t="s">
        <v>13</v>
      </c>
    </row>
    <row r="7" spans="1:9">
      <c r="A7" s="7" t="s">
        <v>9</v>
      </c>
      <c r="B7" s="8" t="s">
        <v>23</v>
      </c>
      <c r="C7" s="8" t="s">
        <v>24</v>
      </c>
      <c r="D7" s="8" t="s">
        <v>16</v>
      </c>
      <c r="E7" s="8">
        <v>0</v>
      </c>
      <c r="F7" s="8">
        <v>5</v>
      </c>
      <c r="G7" s="9">
        <f t="shared" si="0"/>
        <v>0</v>
      </c>
      <c r="H7" s="8"/>
      <c r="I7" s="15" t="s">
        <v>13</v>
      </c>
    </row>
    <row r="8" spans="1:9">
      <c r="A8" s="7" t="s">
        <v>9</v>
      </c>
      <c r="B8" s="8" t="s">
        <v>25</v>
      </c>
      <c r="C8" s="8" t="s">
        <v>26</v>
      </c>
      <c r="D8" s="8" t="s">
        <v>16</v>
      </c>
      <c r="E8" s="8">
        <v>0</v>
      </c>
      <c r="F8" s="8">
        <v>5</v>
      </c>
      <c r="G8" s="9">
        <f t="shared" si="0"/>
        <v>0</v>
      </c>
      <c r="H8" s="8"/>
      <c r="I8" s="15" t="s">
        <v>13</v>
      </c>
    </row>
    <row r="9" spans="1:9">
      <c r="A9" s="7" t="s">
        <v>9</v>
      </c>
      <c r="B9" s="8" t="s">
        <v>27</v>
      </c>
      <c r="C9" s="8" t="s">
        <v>28</v>
      </c>
      <c r="D9" s="8" t="s">
        <v>16</v>
      </c>
      <c r="E9" s="8">
        <v>0</v>
      </c>
      <c r="F9" s="8">
        <v>5</v>
      </c>
      <c r="G9" s="9">
        <f t="shared" si="0"/>
        <v>0</v>
      </c>
      <c r="H9" s="8"/>
      <c r="I9" s="15" t="s">
        <v>13</v>
      </c>
    </row>
    <row r="10" spans="1:9">
      <c r="A10" s="7" t="s">
        <v>9</v>
      </c>
      <c r="B10" s="8" t="s">
        <v>29</v>
      </c>
      <c r="C10" s="8" t="s">
        <v>30</v>
      </c>
      <c r="D10" s="8" t="s">
        <v>16</v>
      </c>
      <c r="E10" s="8">
        <v>0</v>
      </c>
      <c r="F10" s="8">
        <v>5</v>
      </c>
      <c r="G10" s="9">
        <f t="shared" si="0"/>
        <v>0</v>
      </c>
      <c r="H10" s="8"/>
      <c r="I10" s="15" t="s">
        <v>13</v>
      </c>
    </row>
    <row r="11" spans="1:9">
      <c r="A11" s="10" t="s">
        <v>31</v>
      </c>
      <c r="B11" s="8" t="s">
        <v>32</v>
      </c>
      <c r="C11" s="8" t="s">
        <v>33</v>
      </c>
      <c r="D11" s="8" t="s">
        <v>16</v>
      </c>
      <c r="E11" s="8">
        <v>0</v>
      </c>
      <c r="F11" s="8">
        <v>5</v>
      </c>
      <c r="G11" s="9">
        <f t="shared" si="0"/>
        <v>0</v>
      </c>
      <c r="H11" s="8"/>
      <c r="I11" s="15" t="s">
        <v>13</v>
      </c>
    </row>
    <row r="12" spans="1:9">
      <c r="A12" s="10" t="s">
        <v>31</v>
      </c>
      <c r="B12" s="8" t="s">
        <v>34</v>
      </c>
      <c r="C12" s="8" t="s">
        <v>35</v>
      </c>
      <c r="D12" s="8" t="s">
        <v>16</v>
      </c>
      <c r="E12" s="8">
        <v>0</v>
      </c>
      <c r="F12" s="8">
        <v>5</v>
      </c>
      <c r="G12" s="9">
        <f t="shared" si="0"/>
        <v>0</v>
      </c>
      <c r="H12" s="8"/>
      <c r="I12" s="15" t="s">
        <v>13</v>
      </c>
    </row>
    <row r="13" spans="1:9">
      <c r="A13" s="10" t="s">
        <v>31</v>
      </c>
      <c r="B13" s="8" t="s">
        <v>36</v>
      </c>
      <c r="C13" s="8" t="s">
        <v>37</v>
      </c>
      <c r="D13" s="8" t="s">
        <v>16</v>
      </c>
      <c r="E13" s="8">
        <v>0</v>
      </c>
      <c r="F13" s="8">
        <v>5</v>
      </c>
      <c r="G13" s="9">
        <f t="shared" si="0"/>
        <v>0</v>
      </c>
      <c r="H13" s="8"/>
      <c r="I13" s="15" t="s">
        <v>13</v>
      </c>
    </row>
    <row r="14" spans="1:9">
      <c r="A14" s="10" t="s">
        <v>31</v>
      </c>
      <c r="B14" s="8" t="s">
        <v>38</v>
      </c>
      <c r="C14" s="8" t="s">
        <v>39</v>
      </c>
      <c r="D14" s="8" t="s">
        <v>16</v>
      </c>
      <c r="E14" s="8">
        <v>0</v>
      </c>
      <c r="F14" s="8">
        <v>5</v>
      </c>
      <c r="G14" s="9">
        <f t="shared" si="0"/>
        <v>0</v>
      </c>
      <c r="H14" s="8"/>
      <c r="I14" s="15" t="s">
        <v>13</v>
      </c>
    </row>
    <row r="15" spans="1:9">
      <c r="A15" s="10" t="s">
        <v>31</v>
      </c>
      <c r="B15" s="8" t="s">
        <v>40</v>
      </c>
      <c r="C15" s="8" t="s">
        <v>41</v>
      </c>
      <c r="D15" s="8" t="s">
        <v>16</v>
      </c>
      <c r="E15" s="8">
        <v>0</v>
      </c>
      <c r="F15" s="8">
        <v>5</v>
      </c>
      <c r="G15" s="9">
        <f t="shared" si="0"/>
        <v>0</v>
      </c>
      <c r="H15" s="8"/>
      <c r="I15" s="15" t="s">
        <v>13</v>
      </c>
    </row>
    <row r="16" spans="1:9">
      <c r="A16" s="10" t="s">
        <v>31</v>
      </c>
      <c r="B16" s="8" t="s">
        <v>42</v>
      </c>
      <c r="C16" s="8" t="s">
        <v>43</v>
      </c>
      <c r="D16" s="8" t="s">
        <v>16</v>
      </c>
      <c r="E16" s="8">
        <v>0</v>
      </c>
      <c r="F16" s="8">
        <v>5</v>
      </c>
      <c r="G16" s="9">
        <f t="shared" si="0"/>
        <v>0</v>
      </c>
      <c r="H16" s="8"/>
      <c r="I16" s="15" t="s">
        <v>13</v>
      </c>
    </row>
    <row r="17" spans="1:9">
      <c r="A17" s="10" t="s">
        <v>31</v>
      </c>
      <c r="B17" s="8" t="s">
        <v>44</v>
      </c>
      <c r="C17" s="8" t="s">
        <v>45</v>
      </c>
      <c r="D17" s="8" t="s">
        <v>16</v>
      </c>
      <c r="E17" s="8">
        <v>0</v>
      </c>
      <c r="F17" s="8">
        <v>5</v>
      </c>
      <c r="G17" s="9">
        <f t="shared" si="0"/>
        <v>0</v>
      </c>
      <c r="H17" s="8"/>
      <c r="I17" s="15" t="s">
        <v>13</v>
      </c>
    </row>
    <row r="18" spans="1:9">
      <c r="A18" s="10" t="s">
        <v>31</v>
      </c>
      <c r="B18" s="8" t="s">
        <v>46</v>
      </c>
      <c r="C18" s="8" t="s">
        <v>47</v>
      </c>
      <c r="D18" s="8" t="s">
        <v>16</v>
      </c>
      <c r="E18" s="8">
        <v>0</v>
      </c>
      <c r="F18" s="8">
        <v>5</v>
      </c>
      <c r="G18" s="9">
        <f t="shared" si="0"/>
        <v>0</v>
      </c>
      <c r="H18" s="8"/>
      <c r="I18" s="15" t="s">
        <v>13</v>
      </c>
    </row>
    <row r="19" spans="1:9">
      <c r="A19" s="11" t="s">
        <v>48</v>
      </c>
      <c r="B19" s="8" t="s">
        <v>49</v>
      </c>
      <c r="C19" s="8" t="s">
        <v>50</v>
      </c>
      <c r="D19" s="8" t="s">
        <v>16</v>
      </c>
      <c r="E19" s="8">
        <v>0</v>
      </c>
      <c r="F19" s="8">
        <v>5</v>
      </c>
      <c r="G19" s="9">
        <f t="shared" si="0"/>
        <v>0</v>
      </c>
      <c r="H19" s="8"/>
      <c r="I19" s="15" t="s">
        <v>13</v>
      </c>
    </row>
    <row r="20" spans="1:9">
      <c r="A20" s="11" t="s">
        <v>48</v>
      </c>
      <c r="B20" s="8" t="s">
        <v>51</v>
      </c>
      <c r="C20" s="8" t="s">
        <v>52</v>
      </c>
      <c r="D20" s="8" t="s">
        <v>16</v>
      </c>
      <c r="E20" s="8">
        <v>0</v>
      </c>
      <c r="F20" s="8">
        <v>5</v>
      </c>
      <c r="G20" s="9">
        <f t="shared" si="0"/>
        <v>0</v>
      </c>
      <c r="H20" s="8"/>
      <c r="I20" s="15" t="s">
        <v>13</v>
      </c>
    </row>
    <row r="21" spans="1:9">
      <c r="A21" s="11" t="s">
        <v>48</v>
      </c>
      <c r="B21" s="8" t="s">
        <v>53</v>
      </c>
      <c r="C21" s="8" t="s">
        <v>54</v>
      </c>
      <c r="D21" s="8" t="s">
        <v>16</v>
      </c>
      <c r="E21" s="8">
        <v>0</v>
      </c>
      <c r="F21" s="8">
        <v>5</v>
      </c>
      <c r="G21" s="9">
        <f t="shared" si="0"/>
        <v>0</v>
      </c>
      <c r="H21" s="8"/>
      <c r="I21" s="15" t="s">
        <v>13</v>
      </c>
    </row>
    <row r="22" spans="1:9">
      <c r="A22" s="11" t="s">
        <v>48</v>
      </c>
      <c r="B22" s="8" t="s">
        <v>55</v>
      </c>
      <c r="C22" s="8" t="s">
        <v>56</v>
      </c>
      <c r="D22" s="8" t="s">
        <v>16</v>
      </c>
      <c r="E22" s="8">
        <v>0</v>
      </c>
      <c r="F22" s="8">
        <v>5</v>
      </c>
      <c r="G22" s="9">
        <f t="shared" si="0"/>
        <v>0</v>
      </c>
      <c r="H22" s="8"/>
      <c r="I22" s="15" t="s">
        <v>13</v>
      </c>
    </row>
    <row r="23" spans="1:9">
      <c r="A23" s="11" t="s">
        <v>48</v>
      </c>
      <c r="B23" s="8" t="s">
        <v>57</v>
      </c>
      <c r="C23" s="8" t="s">
        <v>58</v>
      </c>
      <c r="D23" s="8" t="s">
        <v>16</v>
      </c>
      <c r="E23" s="8">
        <v>0</v>
      </c>
      <c r="F23" s="8">
        <v>5</v>
      </c>
      <c r="G23" s="9">
        <f t="shared" si="0"/>
        <v>0</v>
      </c>
      <c r="H23" s="8"/>
      <c r="I23" s="15" t="s">
        <v>13</v>
      </c>
    </row>
    <row r="24" spans="1:9">
      <c r="A24" s="11" t="s">
        <v>48</v>
      </c>
      <c r="B24" s="8" t="s">
        <v>59</v>
      </c>
      <c r="C24" s="8" t="s">
        <v>60</v>
      </c>
      <c r="D24" s="8" t="s">
        <v>16</v>
      </c>
      <c r="E24" s="8">
        <v>0</v>
      </c>
      <c r="F24" s="8">
        <v>5</v>
      </c>
      <c r="G24" s="9">
        <f t="shared" si="0"/>
        <v>0</v>
      </c>
      <c r="H24" s="8"/>
      <c r="I24" s="15" t="s">
        <v>13</v>
      </c>
    </row>
    <row r="25" spans="1:9">
      <c r="A25" s="11" t="s">
        <v>48</v>
      </c>
      <c r="B25" s="8" t="s">
        <v>61</v>
      </c>
      <c r="C25" s="8" t="s">
        <v>62</v>
      </c>
      <c r="D25" s="8" t="s">
        <v>16</v>
      </c>
      <c r="E25" s="8">
        <v>0</v>
      </c>
      <c r="F25" s="8">
        <v>5</v>
      </c>
      <c r="G25" s="9">
        <f t="shared" si="0"/>
        <v>0</v>
      </c>
      <c r="H25" s="8"/>
      <c r="I25" s="15" t="s">
        <v>13</v>
      </c>
    </row>
    <row r="26" spans="1:9">
      <c r="A26" s="12" t="s">
        <v>63</v>
      </c>
      <c r="B26" s="8" t="s">
        <v>64</v>
      </c>
      <c r="C26" s="8" t="s">
        <v>65</v>
      </c>
      <c r="D26" s="8" t="s">
        <v>16</v>
      </c>
      <c r="E26" s="8">
        <v>0</v>
      </c>
      <c r="F26" s="8">
        <v>5</v>
      </c>
      <c r="G26" s="9">
        <f t="shared" si="0"/>
        <v>0</v>
      </c>
      <c r="H26" s="8"/>
      <c r="I26" s="15" t="s">
        <v>13</v>
      </c>
    </row>
    <row r="27" spans="1:9">
      <c r="A27" s="12" t="s">
        <v>63</v>
      </c>
      <c r="B27" s="8" t="s">
        <v>66</v>
      </c>
      <c r="C27" s="8" t="s">
        <v>67</v>
      </c>
      <c r="D27" s="8" t="s">
        <v>16</v>
      </c>
      <c r="E27" s="8">
        <v>0</v>
      </c>
      <c r="F27" s="8">
        <v>5</v>
      </c>
      <c r="G27" s="9">
        <f t="shared" si="0"/>
        <v>0</v>
      </c>
      <c r="H27" s="8"/>
      <c r="I27" s="15" t="s">
        <v>13</v>
      </c>
    </row>
    <row r="28" spans="1:9">
      <c r="A28" s="12" t="s">
        <v>63</v>
      </c>
      <c r="B28" s="8" t="s">
        <v>68</v>
      </c>
      <c r="C28" s="8" t="s">
        <v>69</v>
      </c>
      <c r="D28" s="8" t="s">
        <v>16</v>
      </c>
      <c r="E28" s="8">
        <v>0</v>
      </c>
      <c r="F28" s="8">
        <v>5</v>
      </c>
      <c r="G28" s="9">
        <f t="shared" si="0"/>
        <v>0</v>
      </c>
      <c r="H28" s="8"/>
      <c r="I28" s="15" t="s">
        <v>13</v>
      </c>
    </row>
    <row r="29" spans="1:9">
      <c r="A29" s="12" t="s">
        <v>63</v>
      </c>
      <c r="B29" s="8" t="s">
        <v>70</v>
      </c>
      <c r="C29" s="8" t="s">
        <v>71</v>
      </c>
      <c r="D29" s="8" t="s">
        <v>16</v>
      </c>
      <c r="E29" s="8">
        <v>0</v>
      </c>
      <c r="F29" s="8">
        <v>5</v>
      </c>
      <c r="G29" s="9">
        <f t="shared" si="0"/>
        <v>0</v>
      </c>
      <c r="H29" s="8"/>
      <c r="I29" s="15" t="s">
        <v>13</v>
      </c>
    </row>
    <row r="30" spans="1:9">
      <c r="A30" s="12" t="s">
        <v>63</v>
      </c>
      <c r="B30" s="8" t="s">
        <v>72</v>
      </c>
      <c r="C30" s="8" t="s">
        <v>73</v>
      </c>
      <c r="D30" s="8" t="s">
        <v>16</v>
      </c>
      <c r="E30" s="8">
        <v>0</v>
      </c>
      <c r="F30" s="8">
        <v>5</v>
      </c>
      <c r="G30" s="9">
        <f t="shared" si="0"/>
        <v>0</v>
      </c>
      <c r="H30" s="8"/>
      <c r="I30" s="15" t="s">
        <v>13</v>
      </c>
    </row>
    <row r="31" spans="1:9">
      <c r="A31" s="12" t="s">
        <v>63</v>
      </c>
      <c r="B31" s="8" t="s">
        <v>74</v>
      </c>
      <c r="C31" s="8" t="s">
        <v>75</v>
      </c>
      <c r="D31" s="8" t="s">
        <v>16</v>
      </c>
      <c r="E31" s="8">
        <v>0</v>
      </c>
      <c r="F31" s="8">
        <v>5</v>
      </c>
      <c r="G31" s="9">
        <f t="shared" si="0"/>
        <v>0</v>
      </c>
      <c r="H31" s="8"/>
      <c r="I31" s="15" t="s">
        <v>13</v>
      </c>
    </row>
  </sheetData>
  <conditionalFormatting sqref="D2:D31">
    <cfRule type="cellIs" dxfId="0" priority="2" operator="equal">
      <formula>"Done"</formula>
    </cfRule>
    <cfRule type="cellIs" dxfId="1" priority="3" operator="equal">
      <formula>"In Progress"</formula>
    </cfRule>
    <cfRule type="cellIs" dxfId="2" priority="4" operator="equal">
      <formula>"Not Started"</formula>
    </cfRule>
  </conditionalFormatting>
  <dataValidations count="1">
    <dataValidation type="list" allowBlank="1" sqref="D2:D31">
      <formula1>"Not Started,In Progress,Done"</formula1>
    </dataValidation>
  </dataValidations>
  <hyperlinks>
    <hyperlink ref="I2" r:id="rId1" display="Practice link"/>
    <hyperlink ref="I3" r:id="rId2" display="Practice link"/>
    <hyperlink ref="I4" r:id="rId3" display="Practice link"/>
    <hyperlink ref="I5" r:id="rId4" display="Practice link"/>
    <hyperlink ref="I6" r:id="rId5" display="Practice link"/>
    <hyperlink ref="I7" r:id="rId6" display="Practice link"/>
    <hyperlink ref="I8" r:id="rId7" display="Practice link"/>
    <hyperlink ref="I9" r:id="rId7" display="Practice link"/>
    <hyperlink ref="I10" r:id="rId7" display="Practice link"/>
    <hyperlink ref="I11" r:id="rId8" display="Practice link"/>
    <hyperlink ref="I12" r:id="rId9" display="Practice link"/>
    <hyperlink ref="I13" r:id="rId9" display="Practice link"/>
    <hyperlink ref="I14" r:id="rId10" display="Practice link"/>
    <hyperlink ref="I15" r:id="rId11" display="Practice link"/>
    <hyperlink ref="I16" r:id="rId12" display="Practice link"/>
    <hyperlink ref="I17" r:id="rId12" display="Practice link"/>
    <hyperlink ref="I18" r:id="rId13" display="Practice link"/>
    <hyperlink ref="I19" r:id="rId14" display="Practice link"/>
    <hyperlink ref="I20" r:id="rId15" display="Practice link"/>
    <hyperlink ref="I21" r:id="rId16" display="Practice link"/>
    <hyperlink ref="I22" r:id="rId13" display="Practice link"/>
    <hyperlink ref="I23" r:id="rId17" display="Practice link"/>
    <hyperlink ref="I24" r:id="rId9" display="Practice link"/>
    <hyperlink ref="I25" r:id="rId18" display="Practice link"/>
    <hyperlink ref="I26" r:id="rId19" display="Practice link"/>
    <hyperlink ref="I27" r:id="rId20" display="Practice link"/>
    <hyperlink ref="I28" r:id="rId21" display="Practice link"/>
    <hyperlink ref="I29" r:id="rId22" display="Practice link"/>
    <hyperlink ref="I30" r:id="rId23" display="Practice link"/>
    <hyperlink ref="I31" r:id="rId24" display="Practice link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A1" sqref="A1:D1"/>
    </sheetView>
  </sheetViews>
  <sheetFormatPr defaultColWidth="8.68181818181818" defaultRowHeight="14.5" outlineLevelCol="5"/>
  <cols>
    <col min="1" max="1" width="18" customWidth="1"/>
    <col min="2" max="6" width="13" customWidth="1"/>
  </cols>
  <sheetData>
    <row r="1" ht="18" spans="1:4">
      <c r="A1" s="1" t="s">
        <v>76</v>
      </c>
      <c r="B1" s="1"/>
      <c r="C1" s="1"/>
      <c r="D1" s="1"/>
    </row>
    <row r="3" ht="15.5" spans="1:1">
      <c r="A3" s="2" t="s">
        <v>77</v>
      </c>
    </row>
    <row r="4" spans="1:2">
      <c r="A4" s="3" t="s">
        <v>78</v>
      </c>
      <c r="B4" s="4">
        <f>COUNTA(Tracker!B2:B31)</f>
        <v>30</v>
      </c>
    </row>
    <row r="5" spans="1:2">
      <c r="A5" s="3" t="s">
        <v>12</v>
      </c>
      <c r="B5" s="4">
        <f>COUNTIF(Tracker!D2:D31,"Done")</f>
        <v>1</v>
      </c>
    </row>
    <row r="6" spans="1:2">
      <c r="A6" s="3" t="s">
        <v>79</v>
      </c>
      <c r="B6" s="4">
        <f>COUNTIF(Tracker!D2:D31,"In Progress")</f>
        <v>0</v>
      </c>
    </row>
    <row r="7" spans="1:2">
      <c r="A7" s="3" t="s">
        <v>16</v>
      </c>
      <c r="B7" s="4">
        <f>COUNTIF(Tracker!D2:D31,"Not Started")</f>
        <v>29</v>
      </c>
    </row>
    <row r="8" spans="1:2">
      <c r="A8" s="3" t="s">
        <v>80</v>
      </c>
      <c r="B8" s="5">
        <f>B5/B4</f>
        <v>0.0333333333333333</v>
      </c>
    </row>
    <row r="10" ht="15.5" spans="1:1">
      <c r="A10" s="2" t="s">
        <v>81</v>
      </c>
    </row>
    <row r="11" spans="1:6">
      <c r="A11" s="6" t="s">
        <v>82</v>
      </c>
      <c r="B11" s="6" t="s">
        <v>83</v>
      </c>
      <c r="C11" s="6" t="s">
        <v>12</v>
      </c>
      <c r="D11" s="6" t="s">
        <v>79</v>
      </c>
      <c r="E11" s="6" t="s">
        <v>16</v>
      </c>
      <c r="F11" s="6" t="s">
        <v>84</v>
      </c>
    </row>
    <row r="12" spans="1:6">
      <c r="A12" s="7" t="s">
        <v>9</v>
      </c>
      <c r="B12" s="8">
        <f>COUNTIF(Tracker!A2:A31,"Tier 1")</f>
        <v>9</v>
      </c>
      <c r="C12" s="8">
        <f>COUNTIFS(Tracker!A2:A31,"Tier 1",Tracker!D2:D31,"Done")</f>
        <v>1</v>
      </c>
      <c r="D12" s="8">
        <f>COUNTIFS(Tracker!A2:A31,"Tier 1",Tracker!D2:D31,"In Progress")</f>
        <v>0</v>
      </c>
      <c r="E12" s="8">
        <f>COUNTIFS(Tracker!A2:A31,"Tier 1",Tracker!D2:D31,"Not Started")</f>
        <v>8</v>
      </c>
      <c r="F12" s="9">
        <f>IFERROR(C12/B12,0)</f>
        <v>0.111111111111111</v>
      </c>
    </row>
    <row r="13" spans="1:6">
      <c r="A13" s="10" t="s">
        <v>31</v>
      </c>
      <c r="B13" s="8">
        <f>COUNTIF(Tracker!A2:A31,"Tier 2")</f>
        <v>8</v>
      </c>
      <c r="C13" s="8">
        <f>COUNTIFS(Tracker!A2:A31,"Tier 2",Tracker!D2:D31,"Done")</f>
        <v>0</v>
      </c>
      <c r="D13" s="8">
        <f>COUNTIFS(Tracker!A2:A31,"Tier 2",Tracker!D2:D31,"In Progress")</f>
        <v>0</v>
      </c>
      <c r="E13" s="8">
        <f>COUNTIFS(Tracker!A2:A31,"Tier 2",Tracker!D2:D31,"Not Started")</f>
        <v>8</v>
      </c>
      <c r="F13" s="9">
        <f>IFERROR(C13/B13,0)</f>
        <v>0</v>
      </c>
    </row>
    <row r="14" spans="1:6">
      <c r="A14" s="11" t="s">
        <v>48</v>
      </c>
      <c r="B14" s="8">
        <f>COUNTIF(Tracker!A2:A31,"Tier 3")</f>
        <v>7</v>
      </c>
      <c r="C14" s="8">
        <f>COUNTIFS(Tracker!A2:A31,"Tier 3",Tracker!D2:D31,"Done")</f>
        <v>0</v>
      </c>
      <c r="D14" s="8">
        <f>COUNTIFS(Tracker!A2:A31,"Tier 3",Tracker!D2:D31,"In Progress")</f>
        <v>0</v>
      </c>
      <c r="E14" s="8">
        <f>COUNTIFS(Tracker!A2:A31,"Tier 3",Tracker!D2:D31,"Not Started")</f>
        <v>7</v>
      </c>
      <c r="F14" s="9">
        <f>IFERROR(C14/B14,0)</f>
        <v>0</v>
      </c>
    </row>
    <row r="15" spans="1:6">
      <c r="A15" s="12" t="s">
        <v>63</v>
      </c>
      <c r="B15" s="8">
        <f>COUNTIF(Tracker!A2:A31,"Tier 4")</f>
        <v>6</v>
      </c>
      <c r="C15" s="8">
        <f>COUNTIFS(Tracker!A2:A31,"Tier 4",Tracker!D2:D31,"Done")</f>
        <v>0</v>
      </c>
      <c r="D15" s="8">
        <f>COUNTIFS(Tracker!A2:A31,"Tier 4",Tracker!D2:D31,"In Progress")</f>
        <v>0</v>
      </c>
      <c r="E15" s="8">
        <f>COUNTIFS(Tracker!A2:A31,"Tier 4",Tracker!D2:D31,"Not Started")</f>
        <v>6</v>
      </c>
      <c r="F15" s="9">
        <f>IFERROR(C15/B15,0)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Tracker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chanakyab</cp:lastModifiedBy>
  <cp:revision>0</cp:revision>
  <dcterms:created xsi:type="dcterms:W3CDTF">2026-07-03T08:10:00Z</dcterms:created>
  <dcterms:modified xsi:type="dcterms:W3CDTF">2026-07-08T05:57:26Z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71578CD6FC0749F18C8C6AA0602B559B_12</vt:lpwstr>
  </property>
  <property fmtid="{D5CDD505-2E9C-101B-9397-08002B2CF9AE}" pid="3" name="KSOProductBuildVer">
    <vt:lpwstr>2057-12.2.0.23206</vt:lpwstr>
  </property>
</Properties>
</file>